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Muhammad Sameer\Downloads\"/>
    </mc:Choice>
  </mc:AlternateContent>
  <xr:revisionPtr revIDLastSave="0" documentId="13_ncr:1_{0EAA5B08-CC41-4035-9A24-8E2D86F245C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13" i="1"/>
  <c r="G25" i="1"/>
  <c r="G24" i="1"/>
  <c r="G22" i="1" l="1"/>
  <c r="G21" i="1"/>
  <c r="G20" i="1" l="1"/>
  <c r="E19" i="1" l="1"/>
  <c r="G19" i="1" s="1"/>
  <c r="G18" i="1"/>
  <c r="G6" i="1" l="1"/>
  <c r="G12" i="1" l="1"/>
  <c r="G15" i="1"/>
  <c r="C15" i="1"/>
  <c r="A3" i="1"/>
  <c r="A4" i="1" s="1"/>
  <c r="A5" i="1" s="1"/>
  <c r="A6" i="1" s="1"/>
  <c r="A7" i="1" s="1"/>
  <c r="A8" i="1" s="1"/>
  <c r="A9" i="1" s="1"/>
  <c r="A10" i="1" s="1"/>
  <c r="A11" i="1" s="1"/>
  <c r="A12" i="1" s="1"/>
  <c r="A14" i="1" s="1"/>
  <c r="A15" i="1" s="1"/>
  <c r="A16" i="1" s="1"/>
  <c r="G5" i="1"/>
  <c r="G8" i="1"/>
  <c r="G9" i="1"/>
  <c r="G3" i="1"/>
  <c r="C3" i="1"/>
  <c r="C14" i="1"/>
  <c r="G14" i="1" s="1"/>
  <c r="G17" i="1"/>
  <c r="C16" i="1"/>
  <c r="G16" i="1" s="1"/>
  <c r="G11" i="1"/>
  <c r="G10" i="1"/>
  <c r="G7" i="1"/>
  <c r="C7" i="1"/>
  <c r="G4" i="1"/>
  <c r="G2" i="1"/>
</calcChain>
</file>

<file path=xl/sharedStrings.xml><?xml version="1.0" encoding="utf-8"?>
<sst xmlns="http://schemas.openxmlformats.org/spreadsheetml/2006/main" count="78" uniqueCount="44">
  <si>
    <t>SR NO.</t>
  </si>
  <si>
    <t>NAME OF ITEM</t>
  </si>
  <si>
    <t>QUANTITY</t>
  </si>
  <si>
    <t>UNIT</t>
  </si>
  <si>
    <t>RATE</t>
  </si>
  <si>
    <t>excavation</t>
  </si>
  <si>
    <t>conrete</t>
  </si>
  <si>
    <t>wood work</t>
  </si>
  <si>
    <t>plaster</t>
  </si>
  <si>
    <t>steel</t>
  </si>
  <si>
    <t>marble</t>
  </si>
  <si>
    <t>tiles</t>
  </si>
  <si>
    <t>D.P.C</t>
  </si>
  <si>
    <t>backfilling</t>
  </si>
  <si>
    <t>per</t>
  </si>
  <si>
    <t>1000 cft</t>
  </si>
  <si>
    <t>skirting tiles</t>
  </si>
  <si>
    <t>amount in ruppees</t>
  </si>
  <si>
    <t>cft</t>
  </si>
  <si>
    <t>square ft</t>
  </si>
  <si>
    <t>100cft</t>
  </si>
  <si>
    <t>sft</t>
  </si>
  <si>
    <t>glasswork+aluminium</t>
  </si>
  <si>
    <t>1000cft</t>
  </si>
  <si>
    <t>100sft</t>
  </si>
  <si>
    <t>paint interior coat 1</t>
  </si>
  <si>
    <t>paint interior coat 2</t>
  </si>
  <si>
    <t>paint exterior coat 1</t>
  </si>
  <si>
    <t>paint exterior coat 2</t>
  </si>
  <si>
    <t>lb</t>
  </si>
  <si>
    <t>cwt=112lb</t>
  </si>
  <si>
    <t>100 sft</t>
  </si>
  <si>
    <t>Pacca brick work in ground floor (cement, sand mortar(1:4))</t>
  </si>
  <si>
    <t>Pacca brick work in foundation and plinth in:-(cement, sand mortar(1:4))</t>
  </si>
  <si>
    <t>Main gate</t>
  </si>
  <si>
    <t>per sft</t>
  </si>
  <si>
    <t>Pacca Brick Work in Roof (cement, sand mortar(1:4))</t>
  </si>
  <si>
    <t>Two coats of bitumen</t>
  </si>
  <si>
    <t>Two layers of Polythen sheet</t>
  </si>
  <si>
    <t>4" Mud plaster</t>
  </si>
  <si>
    <t>Well compacetd earth</t>
  </si>
  <si>
    <t>100Cft</t>
  </si>
  <si>
    <t>6" Sand filling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</si>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</sst>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0" zoomScale="115" zoomScaleNormal="115" workbookViewId="0">
      <selection activeCell="F26" sqref="F26"/>
    </sheetView>
  </sheetViews>
  <sheetFormatPr defaultRowHeight="15" x14ac:dyDescent="0.25"/>
  <cols>
    <col min="2" max="2" width="62.42578125" bestFit="1" customWidth="1"/>
    <col min="3" max="3" width="19" customWidth="1"/>
    <col min="5" max="5" width="9.28515625" bestFit="1" customWidth="1"/>
    <col min="6" max="6" width="12" customWidth="1"/>
    <col min="7" max="7" width="1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17</v>
      </c>
    </row>
    <row r="2" spans="1:7" x14ac:dyDescent="0.25">
      <c r="A2" s="1">
        <v>1</v>
      </c>
      <c r="B2" t="s">
        <v>5</v>
      </c>
      <c r="C2">
        <v>935.51599999999996</v>
      </c>
      <c r="D2" t="s">
        <v>18</v>
      </c>
      <c r="E2" s="2">
        <v>7623.55</v>
      </c>
      <c r="F2" t="s">
        <v>15</v>
      </c>
      <c r="G2">
        <f>0.935*E2</f>
        <v>7128.0192500000003</v>
      </c>
    </row>
    <row r="3" spans="1:7" x14ac:dyDescent="0.25">
      <c r="A3" s="1">
        <f>A2+1</f>
        <v>2</v>
      </c>
      <c r="B3" t="s">
        <v>6</v>
      </c>
      <c r="C3">
        <f>396.46+369.97+139.46+9.45</f>
        <v>915.34000000000015</v>
      </c>
      <c r="D3" t="s">
        <v>18</v>
      </c>
      <c r="E3">
        <v>22977.75</v>
      </c>
      <c r="F3" t="s">
        <v>20</v>
      </c>
      <c r="G3">
        <f>9.1534*E3</f>
        <v>210324.53684999997</v>
      </c>
    </row>
    <row r="4" spans="1:7" x14ac:dyDescent="0.25">
      <c r="A4" s="1">
        <f t="shared" ref="A4:A16" si="0">A3+1</f>
        <v>3</v>
      </c>
      <c r="B4" t="s">
        <v>33</v>
      </c>
      <c r="C4">
        <v>1065.2280000000001</v>
      </c>
      <c r="D4" t="s">
        <v>18</v>
      </c>
      <c r="E4">
        <v>27027.5</v>
      </c>
      <c r="F4" t="s">
        <v>20</v>
      </c>
      <c r="G4">
        <f>10.65228*E4</f>
        <v>287904.49770000001</v>
      </c>
    </row>
    <row r="5" spans="1:7" x14ac:dyDescent="0.25">
      <c r="A5" s="1">
        <f t="shared" si="0"/>
        <v>4</v>
      </c>
      <c r="B5" t="s">
        <v>28</v>
      </c>
      <c r="C5">
        <v>1520.21</v>
      </c>
      <c r="D5" t="s">
        <v>21</v>
      </c>
      <c r="E5">
        <v>960.85</v>
      </c>
      <c r="F5" t="s">
        <v>24</v>
      </c>
      <c r="G5">
        <f>15.2021*E5</f>
        <v>14606.937785</v>
      </c>
    </row>
    <row r="6" spans="1:7" x14ac:dyDescent="0.25">
      <c r="A6" s="1">
        <f t="shared" si="0"/>
        <v>5</v>
      </c>
      <c r="B6" t="s">
        <v>27</v>
      </c>
      <c r="C6">
        <v>1520.21</v>
      </c>
      <c r="D6" t="s">
        <v>21</v>
      </c>
      <c r="E6">
        <v>1957.4</v>
      </c>
      <c r="F6" t="s">
        <v>24</v>
      </c>
      <c r="G6">
        <f>15.2021*E6</f>
        <v>29756.590540000001</v>
      </c>
    </row>
    <row r="7" spans="1:7" x14ac:dyDescent="0.25">
      <c r="A7" s="1">
        <f>A6+1</f>
        <v>6</v>
      </c>
      <c r="B7" t="s">
        <v>32</v>
      </c>
      <c r="C7">
        <f>2467.76-C4</f>
        <v>1402.5320000000002</v>
      </c>
      <c r="D7" t="s">
        <v>18</v>
      </c>
      <c r="E7">
        <v>23707.599999999999</v>
      </c>
      <c r="F7" t="s">
        <v>20</v>
      </c>
      <c r="G7">
        <f>14.02532*E7</f>
        <v>332506.67643200001</v>
      </c>
    </row>
    <row r="8" spans="1:7" x14ac:dyDescent="0.25">
      <c r="A8" s="1">
        <f>A7+1</f>
        <v>7</v>
      </c>
      <c r="B8" t="s">
        <v>26</v>
      </c>
      <c r="C8">
        <v>3249.21</v>
      </c>
      <c r="D8" t="s">
        <v>21</v>
      </c>
      <c r="E8">
        <v>446.15</v>
      </c>
      <c r="F8" t="s">
        <v>24</v>
      </c>
      <c r="G8">
        <f>4.4615*E8</f>
        <v>1990.4982249999998</v>
      </c>
    </row>
    <row r="9" spans="1:7" x14ac:dyDescent="0.25">
      <c r="A9" s="1">
        <f t="shared" si="0"/>
        <v>8</v>
      </c>
      <c r="B9" t="s">
        <v>25</v>
      </c>
      <c r="C9">
        <v>3249.21</v>
      </c>
      <c r="D9" t="s">
        <v>21</v>
      </c>
      <c r="E9">
        <v>865.5</v>
      </c>
      <c r="F9" t="s">
        <v>24</v>
      </c>
      <c r="G9">
        <f>32.4921*E9</f>
        <v>28121.912550000001</v>
      </c>
    </row>
    <row r="10" spans="1:7" x14ac:dyDescent="0.25">
      <c r="A10" s="1">
        <f t="shared" si="0"/>
        <v>9</v>
      </c>
      <c r="B10" t="s">
        <v>7</v>
      </c>
      <c r="C10">
        <v>119</v>
      </c>
      <c r="D10" t="s">
        <v>19</v>
      </c>
      <c r="E10">
        <v>3774</v>
      </c>
      <c r="F10" t="s">
        <v>21</v>
      </c>
      <c r="G10">
        <f>C10*E10</f>
        <v>449106</v>
      </c>
    </row>
    <row r="11" spans="1:7" x14ac:dyDescent="0.25">
      <c r="A11" s="1">
        <f t="shared" si="0"/>
        <v>10</v>
      </c>
      <c r="B11" t="s">
        <v>22</v>
      </c>
      <c r="C11">
        <v>115.83</v>
      </c>
      <c r="D11" t="s">
        <v>19</v>
      </c>
      <c r="E11">
        <v>477</v>
      </c>
      <c r="F11" t="s">
        <v>21</v>
      </c>
      <c r="G11">
        <f>C11*E11</f>
        <v>55250.909999999996</v>
      </c>
    </row>
    <row r="12" spans="1:7" x14ac:dyDescent="0.25">
      <c r="A12" s="1">
        <f t="shared" si="0"/>
        <v>11</v>
      </c>
      <c r="B12" t="s">
        <v>8</v>
      </c>
      <c r="C12">
        <v>4356.6899999999996</v>
      </c>
      <c r="D12" t="s">
        <v>21</v>
      </c>
      <c r="E12">
        <v>2153.8000000000002</v>
      </c>
      <c r="F12" t="s">
        <v>31</v>
      </c>
      <c r="G12">
        <f>43.5669*E12</f>
        <v>93834.389219999997</v>
      </c>
    </row>
    <row r="13" spans="1:7" x14ac:dyDescent="0.25">
      <c r="A13" s="1">
        <v>12</v>
      </c>
      <c r="B13" t="s">
        <v>9</v>
      </c>
      <c r="C13">
        <v>4165.6099999999997</v>
      </c>
      <c r="D13" t="s">
        <v>29</v>
      </c>
      <c r="E13">
        <v>8090.45</v>
      </c>
      <c r="F13" t="s">
        <v>30</v>
      </c>
      <c r="G13">
        <f>(C13/112)*E13</f>
        <v>300907.67343303567</v>
      </c>
    </row>
    <row r="14" spans="1:7" x14ac:dyDescent="0.25">
      <c r="A14" s="1">
        <f t="shared" si="0"/>
        <v>13</v>
      </c>
      <c r="B14" t="s">
        <v>10</v>
      </c>
      <c r="C14">
        <f>75.256*12</f>
        <v>903.072</v>
      </c>
      <c r="D14" t="s">
        <v>21</v>
      </c>
      <c r="E14" s="2">
        <v>9226.4500000000007</v>
      </c>
      <c r="F14" t="s">
        <v>24</v>
      </c>
      <c r="G14">
        <f>(C14/100)*E14</f>
        <v>83321.486544000014</v>
      </c>
    </row>
    <row r="15" spans="1:7" x14ac:dyDescent="0.25">
      <c r="A15" s="1">
        <f t="shared" si="0"/>
        <v>14</v>
      </c>
      <c r="B15" t="s">
        <v>11</v>
      </c>
      <c r="C15">
        <f>23.6*12</f>
        <v>283.20000000000005</v>
      </c>
      <c r="D15" t="s">
        <v>21</v>
      </c>
      <c r="E15" s="2">
        <v>4971.3500000000004</v>
      </c>
      <c r="F15" t="s">
        <v>24</v>
      </c>
      <c r="G15">
        <f>2.832*E15</f>
        <v>14078.8632</v>
      </c>
    </row>
    <row r="16" spans="1:7" x14ac:dyDescent="0.25">
      <c r="A16" s="1">
        <f t="shared" si="0"/>
        <v>15</v>
      </c>
      <c r="B16" t="s">
        <v>12</v>
      </c>
      <c r="C16">
        <f>17.74/1.5</f>
        <v>11.826666666666666</v>
      </c>
      <c r="D16" t="s">
        <v>21</v>
      </c>
      <c r="E16">
        <v>5112.3500000000004</v>
      </c>
      <c r="F16" t="s">
        <v>21</v>
      </c>
      <c r="G16">
        <f>C16*E16</f>
        <v>60462.059333333338</v>
      </c>
    </row>
    <row r="17" spans="1:7" x14ac:dyDescent="0.25">
      <c r="A17" s="1">
        <v>16</v>
      </c>
      <c r="B17" t="s">
        <v>13</v>
      </c>
      <c r="C17">
        <v>149.71199999999999</v>
      </c>
      <c r="D17" t="s">
        <v>18</v>
      </c>
      <c r="E17" s="2">
        <v>7623.55</v>
      </c>
      <c r="F17" t="s">
        <v>23</v>
      </c>
      <c r="G17">
        <f>(C17/1000)*E17</f>
        <v>1141.3369175999999</v>
      </c>
    </row>
    <row r="18" spans="1:7" x14ac:dyDescent="0.25">
      <c r="A18" s="1">
        <v>17</v>
      </c>
      <c r="B18" t="s">
        <v>16</v>
      </c>
      <c r="C18">
        <v>78.561400000000006</v>
      </c>
      <c r="D18" t="s">
        <v>21</v>
      </c>
      <c r="E18" s="2">
        <v>12287.25</v>
      </c>
      <c r="F18" t="s">
        <v>24</v>
      </c>
      <c r="G18">
        <f>(C18/100)*E18</f>
        <v>9653.0356215000011</v>
      </c>
    </row>
    <row r="19" spans="1:7" x14ac:dyDescent="0.25">
      <c r="A19" s="1">
        <v>18</v>
      </c>
      <c r="B19" t="s">
        <v>36</v>
      </c>
      <c r="C19">
        <v>36.627299999999998</v>
      </c>
      <c r="D19" t="s">
        <v>18</v>
      </c>
      <c r="E19">
        <f>23707.6+960.45</f>
        <v>24668.05</v>
      </c>
      <c r="F19" t="s">
        <v>20</v>
      </c>
      <c r="G19">
        <f>(C19/100)*E19</f>
        <v>9035.2406776499993</v>
      </c>
    </row>
    <row r="20" spans="1:7" x14ac:dyDescent="0.25">
      <c r="A20" s="1">
        <v>19</v>
      </c>
      <c r="B20" t="s">
        <v>34</v>
      </c>
      <c r="C20">
        <v>48</v>
      </c>
      <c r="D20" t="s">
        <v>21</v>
      </c>
      <c r="E20">
        <v>1251.95</v>
      </c>
      <c r="F20" t="s">
        <v>35</v>
      </c>
      <c r="G20">
        <f>C20*E20</f>
        <v>60093.600000000006</v>
      </c>
    </row>
    <row r="21" spans="1:7" x14ac:dyDescent="0.25">
      <c r="A21" s="1">
        <v>20</v>
      </c>
      <c r="B21" t="s">
        <v>37</v>
      </c>
      <c r="C21">
        <v>903.05597</v>
      </c>
      <c r="D21" t="s">
        <v>21</v>
      </c>
      <c r="E21">
        <v>2137.6999999999998</v>
      </c>
      <c r="F21" t="s">
        <v>24</v>
      </c>
      <c r="G21">
        <f>(C21/100)*E21</f>
        <v>19304.627470689997</v>
      </c>
    </row>
    <row r="22" spans="1:7" x14ac:dyDescent="0.25">
      <c r="A22" s="1">
        <v>21</v>
      </c>
      <c r="B22" t="s">
        <v>38</v>
      </c>
      <c r="C22">
        <v>903.05597</v>
      </c>
      <c r="D22" t="s">
        <v>21</v>
      </c>
      <c r="E22">
        <v>10865.9</v>
      </c>
      <c r="F22" t="s">
        <v>24</v>
      </c>
      <c r="G22">
        <f>(C22/100)*E22</f>
        <v>98125.158644229989</v>
      </c>
    </row>
    <row r="23" spans="1:7" x14ac:dyDescent="0.25">
      <c r="A23" s="1">
        <v>22</v>
      </c>
      <c r="B23" t="s">
        <v>39</v>
      </c>
      <c r="C23">
        <v>301.01859999999999</v>
      </c>
    </row>
    <row r="24" spans="1:7" x14ac:dyDescent="0.25">
      <c r="A24" s="1">
        <v>23</v>
      </c>
      <c r="B24" t="s">
        <v>40</v>
      </c>
      <c r="C24">
        <v>2108.7800000000002</v>
      </c>
      <c r="D24" t="s">
        <v>18</v>
      </c>
      <c r="E24">
        <v>3516.5</v>
      </c>
      <c r="F24" t="s">
        <v>23</v>
      </c>
      <c r="G24">
        <f>(C24/1000)*E24</f>
        <v>7415.5248700000011</v>
      </c>
    </row>
    <row r="25" spans="1:7" x14ac:dyDescent="0.25">
      <c r="A25" s="1">
        <v>24</v>
      </c>
      <c r="B25" t="s">
        <v>42</v>
      </c>
      <c r="C25">
        <v>490.53</v>
      </c>
      <c r="D25" t="s">
        <v>18</v>
      </c>
      <c r="E25">
        <v>2103.15</v>
      </c>
      <c r="F25" t="s">
        <v>41</v>
      </c>
      <c r="G25">
        <f>(C25/100)*E25</f>
        <v>10316.581694999999</v>
      </c>
    </row>
    <row r="26" spans="1:7" x14ac:dyDescent="0.25">
      <c r="A26" s="1"/>
      <c r="F26" t="s">
        <v>43</v>
      </c>
      <c r="G26">
        <f>G2+G3+G4+G24+G5+G6+G7+G8+G9+G10+G11+G12+G13+G14+G15+G16+G18+G17+G19+G20+G21+G22+G25</f>
        <v>2184386.1569590392</v>
      </c>
    </row>
    <row r="27" spans="1:7" x14ac:dyDescent="0.25">
      <c r="A27" s="1"/>
    </row>
    <row r="28" spans="1:7" x14ac:dyDescent="0.25">
      <c r="A28" s="1"/>
    </row>
    <row r="29" spans="1:7" x14ac:dyDescent="0.25">
      <c r="A29" s="1"/>
    </row>
    <row r="30" spans="1:7" x14ac:dyDescent="0.25">
      <c r="A30" s="1"/>
    </row>
    <row r="31" spans="1:7" x14ac:dyDescent="0.25">
      <c r="A3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Sameer</dc:creator>
  <cp:lastModifiedBy>Muhammad Sameer</cp:lastModifiedBy>
  <dcterms:created xsi:type="dcterms:W3CDTF">2015-06-05T18:17:20Z</dcterms:created>
  <dcterms:modified xsi:type="dcterms:W3CDTF">2021-05-26T09:27:01Z</dcterms:modified>
</cp:coreProperties>
</file>